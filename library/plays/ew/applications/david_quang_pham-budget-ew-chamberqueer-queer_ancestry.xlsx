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USER\Music\ew\applications\"/>
    </mc:Choice>
  </mc:AlternateContent>
  <xr:revisionPtr revIDLastSave="0" documentId="13_ncr:1_{BAE07099-7AC1-46AD-B990-1730352DDB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W for CQ 2025 Festival Budget" sheetId="1" r:id="rId1"/>
  </sheets>
  <definedNames>
    <definedName name="_xlnm.Print_Area" localSheetId="0">'EW for CQ 2025 Festival Budget'!$A$1:$C$48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C19" i="1"/>
  <c r="C43" i="1" l="1"/>
  <c r="B43" i="1"/>
  <c r="C44" i="1" l="1"/>
  <c r="C47" i="1" s="1"/>
  <c r="C46" i="1"/>
  <c r="C48" i="1" l="1"/>
</calcChain>
</file>

<file path=xl/sharedStrings.xml><?xml version="1.0" encoding="utf-8"?>
<sst xmlns="http://schemas.openxmlformats.org/spreadsheetml/2006/main" count="71" uniqueCount="65">
  <si>
    <t>Research materials</t>
  </si>
  <si>
    <t>Item</t>
  </si>
  <si>
    <t xml:space="preserve">Total </t>
  </si>
  <si>
    <t xml:space="preserve">Notes </t>
  </si>
  <si>
    <t xml:space="preserve">INCOME </t>
  </si>
  <si>
    <t xml:space="preserve">Anticipated </t>
  </si>
  <si>
    <t xml:space="preserve">Received </t>
  </si>
  <si>
    <t>Cost</t>
  </si>
  <si>
    <t>Total Expense</t>
  </si>
  <si>
    <t>Total Income</t>
  </si>
  <si>
    <t xml:space="preserve">Subtotal </t>
  </si>
  <si>
    <t>Total</t>
  </si>
  <si>
    <t>JACK ($400 base + $100/hr)</t>
  </si>
  <si>
    <t>Fang Tseng (Primary)</t>
  </si>
  <si>
    <t>Emerson Cyrus Olson</t>
  </si>
  <si>
    <t>Piper Hill (Potential)</t>
  </si>
  <si>
    <t>Aliyah Curry (Potential), Deniz Demirkurt (Potential)</t>
  </si>
  <si>
    <t>Producer</t>
  </si>
  <si>
    <t>Caitlin Mayernik (Potential)</t>
  </si>
  <si>
    <t>Queer Anthropology Books</t>
  </si>
  <si>
    <t>Lighting Equipment Rental</t>
  </si>
  <si>
    <t>Sound Equipment Rental</t>
  </si>
  <si>
    <t>Cello (Potential)</t>
  </si>
  <si>
    <t>50 Card Stock</t>
  </si>
  <si>
    <t>Application Fees</t>
  </si>
  <si>
    <t>Transportation</t>
  </si>
  <si>
    <t>Individual Donations</t>
  </si>
  <si>
    <t>TEAM EXPENSES</t>
  </si>
  <si>
    <t>Producer [TBD]
Stage Manager [TBD]
Composer-Librettist [David Quang Pham]</t>
  </si>
  <si>
    <t>PRODUCTION EXPENSES</t>
  </si>
  <si>
    <t xml:space="preserve">Stage Manager </t>
  </si>
  <si>
    <t>Sound Designer-Board Operator</t>
  </si>
  <si>
    <t>Enos (Dancer)</t>
  </si>
  <si>
    <t>Ailuro (Wind Musician)</t>
  </si>
  <si>
    <t>Chelo (String Musician)</t>
  </si>
  <si>
    <t>Performers/Instrumentalist Stipend</t>
  </si>
  <si>
    <t>Rehearsal Venue Fees</t>
  </si>
  <si>
    <t>Performance Venue Fees</t>
  </si>
  <si>
    <t>Fundraising Fees</t>
  </si>
  <si>
    <t>CQ ($8,000 total divided among 2-3 projects)</t>
  </si>
  <si>
    <t>Author</t>
  </si>
  <si>
    <t>David Quang Pham</t>
  </si>
  <si>
    <t>Timmy Ong - Cello / Guitar (Potential)</t>
  </si>
  <si>
    <t>David Quang Pham - Trombone (Secondary)</t>
  </si>
  <si>
    <t>Lighting Designer-Board Operator</t>
  </si>
  <si>
    <t>Possible Team Members Stipend</t>
  </si>
  <si>
    <t>Anna Schultz</t>
  </si>
  <si>
    <t xml:space="preserve">Instrumental Cartage </t>
  </si>
  <si>
    <t>Water and Snacks</t>
  </si>
  <si>
    <t>Rehearsals and Performance (10 Members)</t>
  </si>
  <si>
    <t>10 Members at $34/week (Subway)</t>
  </si>
  <si>
    <t>Set, Costume or Properties Construction</t>
  </si>
  <si>
    <t>Fundraising Goal</t>
  </si>
  <si>
    <t>Indiegogo ($3,000 * 5%)</t>
  </si>
  <si>
    <t>$35 for Green Spaces Fertile Ground New Works Series</t>
  </si>
  <si>
    <t>TBD Actual Value</t>
  </si>
  <si>
    <t>General Administrative Expenses</t>
  </si>
  <si>
    <t>Antropology Dramaturg / Music Arranger</t>
  </si>
  <si>
    <t>Director / Choreographer</t>
  </si>
  <si>
    <t>JACK ($25/hr half $40/hr) (24 hours for 24-Page Piece)</t>
  </si>
  <si>
    <t>Minimalism with Sustainable and Recycled Materials</t>
  </si>
  <si>
    <t>Provided by the Venue</t>
  </si>
  <si>
    <t>Ticket Sales ($12/ticket &amp; $15 OvationTix) (45 Seats)</t>
  </si>
  <si>
    <t>Call-to-Action Postcards</t>
  </si>
  <si>
    <r>
      <rPr>
        <b/>
        <i/>
        <sz val="12"/>
        <color theme="1"/>
        <rFont val="Palatino Linotype"/>
        <family val="1"/>
      </rPr>
      <t>EW (Extinct in the Wild)</t>
    </r>
    <r>
      <rPr>
        <b/>
        <sz val="12"/>
        <color theme="1"/>
        <rFont val="Palatino Linotype"/>
        <family val="1"/>
      </rPr>
      <t xml:space="preserve"> for ChamberQUEER 2025: Queer Ancestry Festival Budget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</si>
</sst>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sz val="12"/>
      <color theme="1"/>
      <name val="Palatino Linotype"/>
      <family val="1"/>
    </font>
    <font>
      <sz val="12"/>
      <name val="Palatino Linotype"/>
      <family val="1"/>
    </font>
    <font>
      <b/>
      <i/>
      <sz val="12"/>
      <color theme="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5" borderId="1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0" borderId="0" xfId="0" applyFont="1"/>
    <xf numFmtId="0" fontId="2" fillId="0" borderId="15" xfId="0" applyFont="1" applyBorder="1"/>
    <xf numFmtId="0" fontId="2" fillId="0" borderId="1" xfId="0" applyFont="1" applyBorder="1"/>
    <xf numFmtId="164" fontId="2" fillId="0" borderId="16" xfId="0" applyNumberFormat="1" applyFont="1" applyBorder="1"/>
    <xf numFmtId="0" fontId="2" fillId="0" borderId="22" xfId="0" applyFont="1" applyBorder="1"/>
    <xf numFmtId="0" fontId="2" fillId="0" borderId="7" xfId="0" applyFont="1" applyBorder="1"/>
    <xf numFmtId="164" fontId="2" fillId="0" borderId="23" xfId="0" applyNumberFormat="1" applyFont="1" applyBorder="1"/>
    <xf numFmtId="0" fontId="2" fillId="0" borderId="24" xfId="0" applyFont="1" applyBorder="1"/>
    <xf numFmtId="0" fontId="2" fillId="0" borderId="8" xfId="0" applyFont="1" applyBorder="1"/>
    <xf numFmtId="164" fontId="2" fillId="0" borderId="25" xfId="0" applyNumberFormat="1" applyFont="1" applyBorder="1"/>
    <xf numFmtId="0" fontId="1" fillId="5" borderId="20" xfId="0" applyFont="1" applyFill="1" applyBorder="1"/>
    <xf numFmtId="0" fontId="2" fillId="5" borderId="21" xfId="0" applyFont="1" applyFill="1" applyBorder="1"/>
    <xf numFmtId="164" fontId="1" fillId="5" borderId="19" xfId="0" applyNumberFormat="1" applyFont="1" applyFill="1" applyBorder="1"/>
    <xf numFmtId="164" fontId="2" fillId="0" borderId="1" xfId="0" applyNumberFormat="1" applyFont="1" applyBorder="1"/>
    <xf numFmtId="0" fontId="1" fillId="0" borderId="15" xfId="0" applyFont="1" applyBorder="1"/>
    <xf numFmtId="164" fontId="1" fillId="0" borderId="1" xfId="0" applyNumberFormat="1" applyFont="1" applyBorder="1"/>
    <xf numFmtId="164" fontId="1" fillId="0" borderId="16" xfId="0" applyNumberFormat="1" applyFont="1" applyBorder="1"/>
    <xf numFmtId="0" fontId="1" fillId="5" borderId="17" xfId="0" applyFont="1" applyFill="1" applyBorder="1"/>
    <xf numFmtId="164" fontId="1" fillId="5" borderId="18" xfId="0" applyNumberFormat="1" applyFont="1" applyFill="1" applyBorder="1" applyAlignment="1">
      <alignment horizontal="center" wrapText="1"/>
    </xf>
    <xf numFmtId="164" fontId="1" fillId="5" borderId="19" xfId="0" applyNumberFormat="1" applyFont="1" applyFill="1" applyBorder="1" applyAlignment="1">
      <alignment horizontal="right" wrapText="1"/>
    </xf>
    <xf numFmtId="0" fontId="1" fillId="4" borderId="26" xfId="0" applyFont="1" applyFill="1" applyBorder="1"/>
    <xf numFmtId="0" fontId="2" fillId="4" borderId="27" xfId="0" applyFont="1" applyFill="1" applyBorder="1"/>
    <xf numFmtId="164" fontId="2" fillId="4" borderId="28" xfId="0" applyNumberFormat="1" applyFont="1" applyFill="1" applyBorder="1"/>
    <xf numFmtId="0" fontId="1" fillId="4" borderId="31" xfId="0" applyFont="1" applyFill="1" applyBorder="1"/>
    <xf numFmtId="0" fontId="2" fillId="4" borderId="0" xfId="0" applyFont="1" applyFill="1"/>
    <xf numFmtId="164" fontId="2" fillId="4" borderId="32" xfId="0" applyNumberFormat="1" applyFont="1" applyFill="1" applyBorder="1"/>
    <xf numFmtId="0" fontId="1" fillId="4" borderId="33" xfId="0" applyFont="1" applyFill="1" applyBorder="1"/>
    <xf numFmtId="0" fontId="2" fillId="4" borderId="34" xfId="0" applyFont="1" applyFill="1" applyBorder="1"/>
    <xf numFmtId="164" fontId="2" fillId="4" borderId="35" xfId="0" applyNumberFormat="1" applyFont="1" applyFill="1" applyBorder="1"/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 wrapText="1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tabSelected="1" workbookViewId="0">
      <selection activeCell="A4" sqref="A4"/>
    </sheetView>
  </sheetViews>
  <sheetFormatPr defaultRowHeight="18" x14ac:dyDescent="0.35"/>
  <cols>
    <col min="1" max="1" width="50.7109375" style="1" customWidth="1"/>
    <col min="2" max="2" width="60.7109375" style="1" customWidth="1"/>
    <col min="3" max="3" width="15.7109375" style="1" customWidth="1"/>
    <col min="4" max="4" width="9.140625" style="1"/>
    <col min="5" max="5" width="24.28515625" style="1" bestFit="1" customWidth="1"/>
    <col min="6" max="6" width="11.7109375" style="1" bestFit="1" customWidth="1"/>
    <col min="7" max="16384" width="9.140625" style="1"/>
  </cols>
  <sheetData>
    <row r="1" spans="1:8" x14ac:dyDescent="0.35">
      <c r="A1" s="42" t="s">
        <v>64</v>
      </c>
      <c r="B1" s="43"/>
      <c r="C1" s="44"/>
      <c r="E1" s="2"/>
      <c r="F1" s="2"/>
      <c r="G1" s="2"/>
    </row>
    <row r="2" spans="1:8" ht="54.95" customHeight="1" thickBot="1" x14ac:dyDescent="0.4">
      <c r="A2" s="45" t="s">
        <v>28</v>
      </c>
      <c r="B2" s="46"/>
      <c r="C2" s="47"/>
      <c r="H2" s="2"/>
    </row>
    <row r="3" spans="1:8" ht="1.5" customHeight="1" x14ac:dyDescent="0.35">
      <c r="A3" s="48"/>
      <c r="B3" s="49"/>
      <c r="C3" s="50"/>
      <c r="H3" s="3"/>
    </row>
    <row r="4" spans="1:8" ht="18.75" thickBot="1" x14ac:dyDescent="0.4">
      <c r="A4" s="4"/>
      <c r="B4" s="5"/>
      <c r="C4" s="6"/>
      <c r="H4" s="3"/>
    </row>
    <row r="5" spans="1:8" x14ac:dyDescent="0.35">
      <c r="A5" s="39" t="s">
        <v>27</v>
      </c>
      <c r="B5" s="40"/>
      <c r="C5" s="41"/>
    </row>
    <row r="6" spans="1:8" s="10" customFormat="1" x14ac:dyDescent="0.35">
      <c r="A6" s="7" t="s">
        <v>1</v>
      </c>
      <c r="B6" s="8" t="s">
        <v>3</v>
      </c>
      <c r="C6" s="9" t="s">
        <v>7</v>
      </c>
    </row>
    <row r="7" spans="1:8" x14ac:dyDescent="0.35">
      <c r="A7" s="11" t="s">
        <v>58</v>
      </c>
      <c r="B7" s="12" t="s">
        <v>13</v>
      </c>
      <c r="C7" s="13">
        <v>320</v>
      </c>
    </row>
    <row r="8" spans="1:8" x14ac:dyDescent="0.35">
      <c r="A8" s="11" t="s">
        <v>30</v>
      </c>
      <c r="B8" s="12" t="s">
        <v>16</v>
      </c>
      <c r="C8" s="13">
        <v>280</v>
      </c>
    </row>
    <row r="9" spans="1:8" x14ac:dyDescent="0.35">
      <c r="A9" s="11" t="s">
        <v>17</v>
      </c>
      <c r="B9" s="12" t="s">
        <v>18</v>
      </c>
      <c r="C9" s="13">
        <v>280</v>
      </c>
    </row>
    <row r="10" spans="1:8" x14ac:dyDescent="0.35">
      <c r="A10" s="11" t="s">
        <v>57</v>
      </c>
      <c r="B10" s="12" t="s">
        <v>14</v>
      </c>
      <c r="C10" s="13">
        <v>300</v>
      </c>
    </row>
    <row r="11" spans="1:8" ht="18.75" thickBot="1" x14ac:dyDescent="0.4">
      <c r="A11" s="14" t="s">
        <v>40</v>
      </c>
      <c r="B11" s="15" t="s">
        <v>41</v>
      </c>
      <c r="C11" s="16">
        <v>240</v>
      </c>
    </row>
    <row r="12" spans="1:8" ht="18.75" thickBot="1" x14ac:dyDescent="0.4">
      <c r="A12" s="51" t="s">
        <v>35</v>
      </c>
      <c r="B12" s="52"/>
      <c r="C12" s="53"/>
    </row>
    <row r="13" spans="1:8" x14ac:dyDescent="0.35">
      <c r="A13" s="17" t="s">
        <v>32</v>
      </c>
      <c r="B13" s="18"/>
      <c r="C13" s="19">
        <v>250</v>
      </c>
    </row>
    <row r="14" spans="1:8" x14ac:dyDescent="0.35">
      <c r="A14" s="17" t="s">
        <v>33</v>
      </c>
      <c r="B14" s="18" t="s">
        <v>43</v>
      </c>
      <c r="C14" s="19">
        <v>250</v>
      </c>
    </row>
    <row r="15" spans="1:8" ht="18.75" thickBot="1" x14ac:dyDescent="0.4">
      <c r="A15" s="17" t="s">
        <v>34</v>
      </c>
      <c r="B15" s="18" t="s">
        <v>42</v>
      </c>
      <c r="C15" s="19">
        <v>250</v>
      </c>
    </row>
    <row r="16" spans="1:8" ht="18.75" thickBot="1" x14ac:dyDescent="0.4">
      <c r="A16" s="51" t="s">
        <v>45</v>
      </c>
      <c r="B16" s="52"/>
      <c r="C16" s="53"/>
    </row>
    <row r="17" spans="1:3" x14ac:dyDescent="0.35">
      <c r="A17" s="14" t="s">
        <v>31</v>
      </c>
      <c r="B17" s="15" t="s">
        <v>15</v>
      </c>
      <c r="C17" s="16">
        <v>240</v>
      </c>
    </row>
    <row r="18" spans="1:3" x14ac:dyDescent="0.35">
      <c r="A18" s="11" t="s">
        <v>44</v>
      </c>
      <c r="B18" s="12" t="s">
        <v>46</v>
      </c>
      <c r="C18" s="13">
        <v>240</v>
      </c>
    </row>
    <row r="19" spans="1:3" ht="18.75" thickBot="1" x14ac:dyDescent="0.4">
      <c r="A19" s="20" t="s">
        <v>2</v>
      </c>
      <c r="B19" s="21"/>
      <c r="C19" s="22">
        <f>SUM(C7:C11,C13:C15,C17:C18)</f>
        <v>2650</v>
      </c>
    </row>
    <row r="20" spans="1:3" ht="18.75" thickBot="1" x14ac:dyDescent="0.4"/>
    <row r="21" spans="1:3" x14ac:dyDescent="0.35">
      <c r="A21" s="39" t="s">
        <v>29</v>
      </c>
      <c r="B21" s="40"/>
      <c r="C21" s="41"/>
    </row>
    <row r="22" spans="1:3" x14ac:dyDescent="0.35">
      <c r="A22" s="7" t="s">
        <v>1</v>
      </c>
      <c r="B22" s="8" t="s">
        <v>3</v>
      </c>
      <c r="C22" s="9" t="s">
        <v>7</v>
      </c>
    </row>
    <row r="23" spans="1:3" x14ac:dyDescent="0.35">
      <c r="A23" s="11" t="s">
        <v>48</v>
      </c>
      <c r="B23" s="12" t="s">
        <v>49</v>
      </c>
      <c r="C23" s="13">
        <v>200</v>
      </c>
    </row>
    <row r="24" spans="1:3" x14ac:dyDescent="0.35">
      <c r="A24" s="11" t="s">
        <v>36</v>
      </c>
      <c r="B24" s="12" t="s">
        <v>59</v>
      </c>
      <c r="C24" s="13">
        <v>780</v>
      </c>
    </row>
    <row r="25" spans="1:3" x14ac:dyDescent="0.35">
      <c r="A25" s="11" t="s">
        <v>37</v>
      </c>
      <c r="B25" s="12" t="s">
        <v>12</v>
      </c>
      <c r="C25" s="13">
        <v>600</v>
      </c>
    </row>
    <row r="26" spans="1:3" x14ac:dyDescent="0.35">
      <c r="A26" s="11" t="s">
        <v>20</v>
      </c>
      <c r="B26" s="12" t="s">
        <v>61</v>
      </c>
      <c r="C26" s="13">
        <v>0</v>
      </c>
    </row>
    <row r="27" spans="1:3" x14ac:dyDescent="0.35">
      <c r="A27" s="11" t="s">
        <v>21</v>
      </c>
      <c r="B27" s="12" t="s">
        <v>61</v>
      </c>
      <c r="C27" s="13">
        <v>0</v>
      </c>
    </row>
    <row r="28" spans="1:3" x14ac:dyDescent="0.35">
      <c r="A28" s="11" t="s">
        <v>47</v>
      </c>
      <c r="B28" s="12" t="s">
        <v>22</v>
      </c>
      <c r="C28" s="13">
        <v>80</v>
      </c>
    </row>
    <row r="29" spans="1:3" x14ac:dyDescent="0.35">
      <c r="A29" s="11" t="s">
        <v>0</v>
      </c>
      <c r="B29" s="12" t="s">
        <v>19</v>
      </c>
      <c r="C29" s="13">
        <v>180</v>
      </c>
    </row>
    <row r="30" spans="1:3" x14ac:dyDescent="0.35">
      <c r="A30" s="11" t="s">
        <v>25</v>
      </c>
      <c r="B30" s="12" t="s">
        <v>50</v>
      </c>
      <c r="C30" s="13">
        <v>340</v>
      </c>
    </row>
    <row r="31" spans="1:3" x14ac:dyDescent="0.35">
      <c r="A31" s="11" t="s">
        <v>63</v>
      </c>
      <c r="B31" s="12" t="s">
        <v>23</v>
      </c>
      <c r="C31" s="13">
        <v>60</v>
      </c>
    </row>
    <row r="32" spans="1:3" x14ac:dyDescent="0.35">
      <c r="A32" s="11" t="s">
        <v>51</v>
      </c>
      <c r="B32" s="12" t="s">
        <v>60</v>
      </c>
      <c r="C32" s="13">
        <v>120</v>
      </c>
    </row>
    <row r="33" spans="1:3" x14ac:dyDescent="0.35">
      <c r="A33" s="11" t="s">
        <v>38</v>
      </c>
      <c r="B33" s="12" t="s">
        <v>53</v>
      </c>
      <c r="C33" s="13">
        <v>150</v>
      </c>
    </row>
    <row r="34" spans="1:3" x14ac:dyDescent="0.35">
      <c r="A34" s="11" t="s">
        <v>24</v>
      </c>
      <c r="B34" s="12" t="s">
        <v>54</v>
      </c>
      <c r="C34" s="13">
        <v>35</v>
      </c>
    </row>
    <row r="35" spans="1:3" x14ac:dyDescent="0.35">
      <c r="A35" s="11" t="s">
        <v>56</v>
      </c>
      <c r="B35" s="12" t="s">
        <v>55</v>
      </c>
      <c r="C35" s="13">
        <v>300</v>
      </c>
    </row>
    <row r="36" spans="1:3" ht="18.75" thickBot="1" x14ac:dyDescent="0.4">
      <c r="A36" s="20" t="s">
        <v>2</v>
      </c>
      <c r="B36" s="21"/>
      <c r="C36" s="22">
        <f>SUM(C23:C35)</f>
        <v>2845</v>
      </c>
    </row>
    <row r="37" spans="1:3" ht="18.75" thickBot="1" x14ac:dyDescent="0.4"/>
    <row r="38" spans="1:3" x14ac:dyDescent="0.35">
      <c r="A38" s="39" t="s">
        <v>4</v>
      </c>
      <c r="B38" s="40"/>
      <c r="C38" s="41"/>
    </row>
    <row r="39" spans="1:3" x14ac:dyDescent="0.35">
      <c r="A39" s="7" t="s">
        <v>1</v>
      </c>
      <c r="B39" s="8" t="s">
        <v>5</v>
      </c>
      <c r="C39" s="9" t="s">
        <v>6</v>
      </c>
    </row>
    <row r="40" spans="1:3" x14ac:dyDescent="0.35">
      <c r="A40" s="11" t="s">
        <v>39</v>
      </c>
      <c r="B40" s="23">
        <v>2666</v>
      </c>
      <c r="C40" s="13"/>
    </row>
    <row r="41" spans="1:3" x14ac:dyDescent="0.35">
      <c r="A41" s="11" t="s">
        <v>62</v>
      </c>
      <c r="B41" s="23">
        <v>540</v>
      </c>
      <c r="C41" s="13"/>
    </row>
    <row r="42" spans="1:3" x14ac:dyDescent="0.35">
      <c r="A42" s="11" t="s">
        <v>26</v>
      </c>
      <c r="B42" s="23"/>
      <c r="C42" s="13"/>
    </row>
    <row r="43" spans="1:3" x14ac:dyDescent="0.35">
      <c r="A43" s="24" t="s">
        <v>10</v>
      </c>
      <c r="B43" s="25">
        <f>SUM(B40:B42)</f>
        <v>3206</v>
      </c>
      <c r="C43" s="26">
        <f>SUM(C40:C42)</f>
        <v>0</v>
      </c>
    </row>
    <row r="44" spans="1:3" ht="18.75" thickBot="1" x14ac:dyDescent="0.4">
      <c r="A44" s="27" t="s">
        <v>11</v>
      </c>
      <c r="B44" s="28"/>
      <c r="C44" s="29">
        <f>SUM(B43,C43)</f>
        <v>3206</v>
      </c>
    </row>
    <row r="45" spans="1:3" ht="18.75" thickBot="1" x14ac:dyDescent="0.4"/>
    <row r="46" spans="1:3" x14ac:dyDescent="0.35">
      <c r="A46" s="30" t="s">
        <v>8</v>
      </c>
      <c r="B46" s="31"/>
      <c r="C46" s="32">
        <f>SUM(C19 +C36)</f>
        <v>5495</v>
      </c>
    </row>
    <row r="47" spans="1:3" x14ac:dyDescent="0.35">
      <c r="A47" s="33" t="s">
        <v>9</v>
      </c>
      <c r="B47" s="34"/>
      <c r="C47" s="35">
        <f>C44</f>
        <v>3206</v>
      </c>
    </row>
    <row r="48" spans="1:3" ht="18.75" thickBot="1" x14ac:dyDescent="0.4">
      <c r="A48" s="36" t="s">
        <v>52</v>
      </c>
      <c r="B48" s="37"/>
      <c r="C48" s="38">
        <f>SUM(C47-C46)</f>
        <v>-2289</v>
      </c>
    </row>
  </sheetData>
  <mergeCells count="7">
    <mergeCell ref="A38:C38"/>
    <mergeCell ref="A5:C5"/>
    <mergeCell ref="A1:C1"/>
    <mergeCell ref="A2:C3"/>
    <mergeCell ref="A21:C21"/>
    <mergeCell ref="A12:C12"/>
    <mergeCell ref="A16:C16"/>
  </mergeCells>
  <printOptions horizontalCentered="1"/>
  <pageMargins left="0.7" right="0.7" top="0.5" bottom="0.5" header="0.3" footer="0.3"/>
  <pageSetup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EW for CQ 2025 Festival Budget</vt:lpstr>
      <vt:lpstr>'EW for CQ 2025 Festival Budget'!Print_Area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Kristal Pacific</dc:creator>
  <cp:lastModifiedBy>Gordon Rogoff</cp:lastModifiedBy>
  <cp:lastPrinted>2019-12-05T17:47:20Z</cp:lastPrinted>
  <dcterms:created xsi:type="dcterms:W3CDTF">2019-04-22T16:31:24Z</dcterms:created>
  <dcterms:modified xsi:type="dcterms:W3CDTF">2024-10-12T06:02:44Z</dcterms:modified>
</cp:coreProperties>
</file>